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ink/ink1.xml" ContentType="application/inkml+xml"/>
  <Override PartName="/xl/ink/ink2.xml" ContentType="application/inkml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13_ncr:1_{651B61B8-0405-4538-B35D-3A4E768D98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2" sheetId="2" r:id="rId1"/>
    <sheet name="Sheet1" sheetId="1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L5" i="1"/>
  <c r="M6" i="1"/>
  <c r="M5" i="1"/>
  <c r="N5" i="1"/>
  <c r="O6" i="1"/>
  <c r="O5" i="1"/>
  <c r="P5" i="1"/>
  <c r="A5" i="1"/>
  <c r="B5" i="1"/>
  <c r="C5" i="1"/>
  <c r="D5" i="1"/>
  <c r="D2" i="1"/>
  <c r="D3" i="1"/>
  <c r="D4" i="1"/>
</calcChain>
</file>

<file path=xl/sharedStrings.xml><?xml version="1.0" encoding="utf-8"?>
<sst xmlns="http://schemas.openxmlformats.org/spreadsheetml/2006/main" count="57" uniqueCount="43">
  <si>
    <t>ID</t>
  </si>
  <si>
    <t>Start time</t>
  </si>
  <si>
    <t>Completion time</t>
  </si>
  <si>
    <t>Email</t>
  </si>
  <si>
    <t>Name</t>
  </si>
  <si>
    <t>Last modified time</t>
  </si>
  <si>
    <t>How long have you been eating at Red Lobster?</t>
  </si>
  <si>
    <t>What dishes would you like to see more of?</t>
  </si>
  <si>
    <t>Do you pay with cash or card?</t>
  </si>
  <si>
    <t>What dish do you order the most?</t>
  </si>
  <si>
    <t>Is our staff professional and cordial?</t>
  </si>
  <si>
    <t>How often do you come to Red Lobster?</t>
  </si>
  <si>
    <t>Do you eat at Red Lobster for Lunch or Dinner?</t>
  </si>
  <si>
    <t>Do you order dessert?</t>
  </si>
  <si>
    <t>Would you be interested in a loyalty program?</t>
  </si>
  <si>
    <t>Is there any other feedback that you'd like us to know?</t>
  </si>
  <si>
    <t>pgreen-holloway@my.yearupunited.org</t>
  </si>
  <si>
    <t>patrick green-holloway</t>
  </si>
  <si>
    <t>10 years</t>
  </si>
  <si>
    <t>Seafood boil Variations</t>
  </si>
  <si>
    <t>Card</t>
  </si>
  <si>
    <t>Seafood boil</t>
  </si>
  <si>
    <t>Yes</t>
  </si>
  <si>
    <t>Sometimes</t>
  </si>
  <si>
    <t>Dinner</t>
  </si>
  <si>
    <t>No</t>
  </si>
  <si>
    <t>N/A</t>
  </si>
  <si>
    <t>msantarin@my.yearupunited.org</t>
  </si>
  <si>
    <t>marenza santarin</t>
  </si>
  <si>
    <t>First time customer</t>
  </si>
  <si>
    <t>n/a</t>
  </si>
  <si>
    <t xml:space="preserve">Surf and Turf </t>
  </si>
  <si>
    <t>I am a first-time customer</t>
  </si>
  <si>
    <t>dkabakibi@my.yearupunited.org</t>
  </si>
  <si>
    <t>dania kabakibi</t>
  </si>
  <si>
    <t>One year</t>
  </si>
  <si>
    <t>Meals with shrimp</t>
  </si>
  <si>
    <t>Shrimp Rangoon Platter</t>
  </si>
  <si>
    <t>Add deals and family discount would be a good idea</t>
  </si>
  <si>
    <t>Time to Complete</t>
  </si>
  <si>
    <t>Row Labels</t>
  </si>
  <si>
    <t>Grand Total</t>
  </si>
  <si>
    <t>Count of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</si>
</sst>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/d/yy\ h:mm:ss"/>
    <numFmt numFmtId="165" formatCode="m/d/yyyy\ hh:mm:ss"/>
    <numFmt numFmtId="166" formatCode="mm/dd/yyyy\ hh:mm:ss"/>
    <numFmt numFmtId="169" formatCode="mm/dd/yyyy\ 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9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3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9" formatCode="mm/dd/yyyy\ mm:ss"/>
    </dxf>
    <dxf>
      <numFmt numFmtId="166" formatCode="mm/dd/yyyy\ hh:mm:ss"/>
    </dxf>
    <dxf>
      <numFmt numFmtId="166" formatCode="mm/dd/yyyy\ hh:mm:ss"/>
    </dxf>
    <dxf>
      <numFmt numFmtId="169" formatCode="mm/dd/yyyy\ mm:ss"/>
    </dxf>
    <dxf>
      <numFmt numFmtId="169" formatCode="mm/dd/yyyy\ mm:ss"/>
    </dxf>
    <dxf>
      <numFmt numFmtId="166" formatCode="mm/dd/yyyy\ hh:mm:ss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0" formatCode="General"/>
    </dxf>
    <dxf>
      <numFmt numFmtId="0" formatCode="General"/>
    </dxf>
    <dxf>
      <numFmt numFmtId="166" formatCode="mm/dd/yyyy\ h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[Red Lobster Customer Survey(1-3).xlsx]Sheet2!PivotTable1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Visitation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045-4460-B364-2D9C6952C3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Sheet2!$A$2:$A$4</c:f>
              <c:strCache>
                <c:ptCount val="2"/>
                <c:pt idx="0">
                  <c:v>I am a first-time customer</c:v>
                </c:pt>
                <c:pt idx="1">
                  <c:v>Sometimes</c:v>
                </c:pt>
              </c:strCache>
            </c:strRef>
          </c:cat>
          <c:val>
            <c:numRef>
              <c:f>Sheet2!$B$2:$B$4</c:f>
              <c:numCache>
                <c:formatCode>General</c:formatCode>
                <c:ptCount val="2"/>
                <c:pt idx="0">
                  <c:v>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045-4460-B364-2D9C6952C31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3853046594982068"/>
          <c:y val="0.41108741615631378"/>
          <c:w val="0.2876344086021505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ustomXml" Target="../ink/ink1.xml"/><Relationship Id="rId1" Type="http://schemas.openxmlformats.org/officeDocument/2006/relationships/chart" Target="../charts/chart1.xml"/><Relationship Id="rId5" Type="http://schemas.openxmlformats.org/officeDocument/2006/relationships/image" Target="../media/image2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4</xdr:row>
      <xdr:rowOff>106680</xdr:rowOff>
    </xdr:from>
    <xdr:to>
      <xdr:col>8</xdr:col>
      <xdr:colOff>281940</xdr:colOff>
      <xdr:row>19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BADF50-5E13-C8C8-C8FB-635693A40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1699260</xdr:colOff>
      <xdr:row>15</xdr:row>
      <xdr:rowOff>159840</xdr:rowOff>
    </xdr:from>
    <xdr:to>
      <xdr:col>3</xdr:col>
      <xdr:colOff>25140</xdr:colOff>
      <xdr:row>17</xdr:row>
      <xdr:rowOff>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49BACCF-0CED-2542-C866-78C9EE154757}"/>
                </a:ext>
              </a:extLst>
            </xdr14:cNvPr>
            <xdr14:cNvContentPartPr/>
          </xdr14:nvContentPartPr>
          <xdr14:nvPr macro=""/>
          <xdr14:xfrm>
            <a:off x="4160520" y="2903040"/>
            <a:ext cx="215640" cy="206280"/>
          </xdr14:xfrm>
        </xdr:contentPart>
      </mc:Choice>
      <mc:Fallback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49BACCF-0CED-2542-C866-78C9EE15475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154400" y="2896920"/>
              <a:ext cx="22788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1607340</xdr:colOff>
      <xdr:row>10</xdr:row>
      <xdr:rowOff>68400</xdr:rowOff>
    </xdr:from>
    <xdr:to>
      <xdr:col>3</xdr:col>
      <xdr:colOff>1707060</xdr:colOff>
      <xdr:row>11</xdr:row>
      <xdr:rowOff>45720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B2BF6B5-1DA5-09AC-BAE9-C947DBFEEBDE}"/>
                </a:ext>
              </a:extLst>
            </xdr14:cNvPr>
            <xdr14:cNvContentPartPr/>
          </xdr14:nvContentPartPr>
          <xdr14:nvPr macro=""/>
          <xdr14:xfrm>
            <a:off x="5958360" y="1897200"/>
            <a:ext cx="99720" cy="1602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B2BF6B5-1DA5-09AC-BAE9-C947DBFEEBD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52240" y="1891094"/>
              <a:ext cx="111960" cy="172413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0.14946</cdr:x>
      <cdr:y>0.81667</cdr:y>
    </cdr:from>
    <cdr:to>
      <cdr:x>0.31183</cdr:x>
      <cdr:y>0.98611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D746AF8-F173-0F89-BE22-33A332A92FFC}"/>
            </a:ext>
          </a:extLst>
        </cdr:cNvPr>
        <cdr:cNvSpPr txBox="1"/>
      </cdr:nvSpPr>
      <cdr:spPr>
        <a:xfrm xmlns:a="http://schemas.openxmlformats.org/drawingml/2006/main">
          <a:off x="1059180" y="2240280"/>
          <a:ext cx="1150620" cy="4648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Sometimes</a:t>
          </a:r>
        </a:p>
      </cdr:txBody>
    </cdr:sp>
  </cdr:relSizeAnchor>
  <cdr:relSizeAnchor xmlns:cdr="http://schemas.openxmlformats.org/drawingml/2006/chartDrawing">
    <cdr:from>
      <cdr:x>0.40968</cdr:x>
      <cdr:y>0.23611</cdr:y>
    </cdr:from>
    <cdr:to>
      <cdr:x>0.57097</cdr:x>
      <cdr:y>0.45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1701D03-7C34-CA23-9F33-E71AB5970A76}"/>
            </a:ext>
          </a:extLst>
        </cdr:cNvPr>
        <cdr:cNvSpPr txBox="1"/>
      </cdr:nvSpPr>
      <cdr:spPr>
        <a:xfrm xmlns:a="http://schemas.openxmlformats.org/drawingml/2006/main">
          <a:off x="2903220" y="647700"/>
          <a:ext cx="1143000" cy="5867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kern="1200"/>
            <a:t>First-time</a:t>
          </a:r>
          <a:r>
            <a:rPr lang="en-US" sz="1100" kern="1200" baseline="0"/>
            <a:t> Customer</a:t>
          </a:r>
          <a:endParaRPr lang="en-US" sz="1100" kern="1200"/>
        </a:p>
      </cdr:txBody>
    </cdr: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2:24:28.4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1 572 24575,'68'-73'0,"-50"56"0,25-31 0,-31 33 0,1 1 0,0 0 0,0 1 0,17-12 0,-9 9 0,-1-1 0,26-28 0,68-61 0,-93 87 0,36-26 0,-36 30 0,-1-2 0,22-21 0,-30 29 0,2-2 0,-15 9 0,-8 4 0,-45 20 0,43-17 0,0 0 0,1-1 0,-2 0 0,1-1 0,0 0 0,-13 1 0,6-1 0,0 0 0,0 1 0,1 1 0,-26 11 0,26-9 0,0-1 0,0 0 0,0-2 0,-33 5 0,27-8-1365,4 0-5461</inkml:trace>
  <inkml:trace contextRef="#ctx0" brushRef="#br0" timeOffset="2849.56">593 0 24575,'-2'16'0,"0"0"0,0-1 0,-2 1 0,0-1 0,-1 0 0,0 0 0,-1-1 0,-9 17 0,5-10 0,1 1 0,-11 37 0,1 26-1365,16-67-5461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2T02:24:34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277 0 24575,'-5'5'0,"1"1"0,0-1 0,1 1 0,-6 11 0,-9 13 0,-47 50 0,55-66 0,0 0 0,1 1 0,-9 19 0,-4 8 0,-12 10 0,21-34 0,2 0 0,0 1 0,0 1 0,-7 21 0,17-133 0,2-41-1365,-1 115-5461</inkml:trace>
  <inkml:trace contextRef="#ctx0" brushRef="#br0" timeOffset="1406.76">23 445 24575,'3'-3'0,"5"-2"0,5-3 0,1-4 0,0-1 0,2 0 0,-1-3 0,0 2 0,-3 0 0,0 2 0,2 3 0,-1 0 0,-3-3 0,0-2 0,2 0 0,-1 0 0,-2 2-8191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23.925759027778" createdVersion="8" refreshedVersion="8" minRefreshableVersion="3" recordCount="3" xr:uid="{95BE2450-6EAC-4096-80A1-C59FDA2CC2DA}">
  <cacheSource type="worksheet">
    <worksheetSource name="Table1"/>
  </cacheSource>
  <cacheFields count="20">
    <cacheField name="ID" numFmtId="0">
      <sharedItems containsSemiMixedTypes="0" containsString="0" containsNumber="1" containsInteger="1" minValue="1" maxValue="3"/>
    </cacheField>
    <cacheField name="Start time" numFmtId="166">
      <sharedItems containsSemiMixedTypes="0" containsNonDate="0" containsDate="1" containsString="0" minDate="2026-04-09T10:37:35" maxDate="2026-04-09T11:22:36"/>
    </cacheField>
    <cacheField name="Completion time" numFmtId="166">
      <sharedItems containsSemiMixedTypes="0" containsNonDate="0" containsDate="1" containsString="0" minDate="2026-04-09T10:38:37" maxDate="2026-04-09T11:29:59" count="3">
        <d v="2026-04-09T10:38:37"/>
        <d v="2026-04-09T11:19:57"/>
        <d v="2026-04-09T11:29:59"/>
      </sharedItems>
      <fieldGroup par="19"/>
    </cacheField>
    <cacheField name="Time to Complete" numFmtId="169">
      <sharedItems containsSemiMixedTypes="0" containsNonDate="0" containsDate="1" containsString="0" minDate="1899-12-30T00:01:02" maxDate="1899-12-30T00:07:23"/>
    </cacheField>
    <cacheField name="Email" numFmtId="0">
      <sharedItems/>
    </cacheField>
    <cacheField name="Name" numFmtId="0">
      <sharedItems/>
    </cacheField>
    <cacheField name="Last modified time" numFmtId="164">
      <sharedItems containsNonDate="0" containsString="0" containsBlank="1"/>
    </cacheField>
    <cacheField name="How long have you been eating at Red Lobster?" numFmtId="0">
      <sharedItems count="3">
        <s v="10 years"/>
        <s v="First time customer"/>
        <s v="One year"/>
      </sharedItems>
    </cacheField>
    <cacheField name="What dishes would you like to see more of?" numFmtId="0">
      <sharedItems/>
    </cacheField>
    <cacheField name="Do you pay with cash or card?" numFmtId="0">
      <sharedItems count="1">
        <s v="Card"/>
      </sharedItems>
    </cacheField>
    <cacheField name="What dish do you order the most?" numFmtId="0">
      <sharedItems/>
    </cacheField>
    <cacheField name="Is our staff professional and cordial?" numFmtId="0">
      <sharedItems/>
    </cacheField>
    <cacheField name="How often do you come to Red Lobster?" numFmtId="0">
      <sharedItems count="2">
        <s v="Sometimes"/>
        <s v="I am a first-time customer"/>
      </sharedItems>
    </cacheField>
    <cacheField name="Do you eat at Red Lobster for Lunch or Dinner?" numFmtId="0">
      <sharedItems count="1">
        <s v="Dinner"/>
      </sharedItems>
    </cacheField>
    <cacheField name="Do you order dessert?" numFmtId="0">
      <sharedItems count="2">
        <s v="No"/>
        <s v="Yes"/>
      </sharedItems>
    </cacheField>
    <cacheField name="Would you be interested in a loyalty program?" numFmtId="0">
      <sharedItems/>
    </cacheField>
    <cacheField name="Is there any other feedback that you'd like us to know?" numFmtId="0">
      <sharedItems containsBlank="1"/>
    </cacheField>
    <cacheField name="Seconds (Completion time)" numFmtId="0" databaseField="0">
      <fieldGroup base="2">
        <rangePr groupBy="seconds" startDate="2026-04-09T10:38:37" endDate="2026-04-09T11:29:59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9/2026"/>
        </groupItems>
      </fieldGroup>
    </cacheField>
    <cacheField name="Minutes (Completion time)" numFmtId="0" databaseField="0">
      <fieldGroup base="2">
        <rangePr groupBy="minutes" startDate="2026-04-09T10:38:37" endDate="2026-04-09T11:29:59"/>
        <groupItems count="62">
          <s v="&lt;4/9/2026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4/9/2026"/>
        </groupItems>
      </fieldGroup>
    </cacheField>
    <cacheField name="Hours (Completion time)" numFmtId="0" databaseField="0">
      <fieldGroup base="2">
        <rangePr groupBy="hours" startDate="2026-04-09T10:38:37" endDate="2026-04-09T11:29:59"/>
        <groupItems count="26">
          <s v="&lt;4/9/2026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4/9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1"/>
    <d v="2026-04-09T10:37:35"/>
    <x v="0"/>
    <d v="1899-12-30T00:01:02"/>
    <s v="pgreen-holloway@my.yearupunited.org"/>
    <s v="patrick green-holloway"/>
    <m/>
    <x v="0"/>
    <s v="Seafood boil Variations"/>
    <x v="0"/>
    <s v="Seafood boil"/>
    <s v="Yes"/>
    <x v="0"/>
    <x v="0"/>
    <x v="0"/>
    <s v="Yes"/>
    <s v="N/A"/>
  </r>
  <r>
    <n v="2"/>
    <d v="2026-04-09T11:17:23"/>
    <x v="1"/>
    <d v="1899-12-30T00:02:34"/>
    <s v="msantarin@my.yearupunited.org"/>
    <s v="marenza santarin"/>
    <m/>
    <x v="1"/>
    <s v="n/a"/>
    <x v="0"/>
    <s v="Surf and Turf "/>
    <s v="Yes"/>
    <x v="1"/>
    <x v="0"/>
    <x v="1"/>
    <s v="Yes"/>
    <m/>
  </r>
  <r>
    <n v="3"/>
    <d v="2026-04-09T11:22:36"/>
    <x v="2"/>
    <d v="1899-12-30T00:07:23"/>
    <s v="dkabakibi@my.yearupunited.org"/>
    <s v="dania kabakibi"/>
    <m/>
    <x v="2"/>
    <s v="Meals with shrimp"/>
    <x v="0"/>
    <s v="Shrimp Rangoon Platter"/>
    <s v="Yes"/>
    <x v="0"/>
    <x v="0"/>
    <x v="1"/>
    <s v="Yes"/>
    <s v="Add deals and family discount would be a good ide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9641D-7078-4DA9-8774-0C9F8E8921F7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:B4" firstHeaderRow="1" firstDataRow="1" firstDataCol="1"/>
  <pivotFields count="20">
    <pivotField showAll="0"/>
    <pivotField numFmtId="166" showAll="0"/>
    <pivotField numFmtId="166" showAll="0">
      <items count="4">
        <item x="0"/>
        <item x="1"/>
        <item x="2"/>
        <item t="default"/>
      </items>
    </pivotField>
    <pivotField numFmtId="169"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>
      <items count="2"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Email" fld="4" subtotal="count" baseField="0" baseItem="0"/>
  </dataFields>
  <chartFormats count="1">
    <chartFormat chart="0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5" totalsRowCount="1">
  <autoFilter ref="A1:Q4" xr:uid="{00000000-0009-0000-0100-000001000000}"/>
  <tableColumns count="17">
    <tableColumn id="1" xr3:uid="{00000000-0010-0000-0000-000001000000}" name="ID" totalsRowFunction="custom" dataDxfId="33" totalsRowDxfId="16">
      <totalsRowFormula>AVERAGE(A2:A4)</totalsRowFormula>
    </tableColumn>
    <tableColumn id="2" xr3:uid="{00000000-0010-0000-0000-000002000000}" name="Start time" totalsRowFunction="custom" dataDxfId="32" totalsRowDxfId="15">
      <totalsRowFormula>AVERAGE(B2:B4)</totalsRowFormula>
    </tableColumn>
    <tableColumn id="3" xr3:uid="{00000000-0010-0000-0000-000003000000}" name="Completion time" totalsRowFunction="custom" dataDxfId="18" totalsRowDxfId="14">
      <totalsRowFormula>AVERAGE(C2:C4)</totalsRowFormula>
    </tableColumn>
    <tableColumn id="20" xr3:uid="{82A8C47C-7AB9-4BF3-9C54-B478F345E418}" name="Time to Complete" totalsRowFunction="custom" dataDxfId="17" totalsRowDxfId="13">
      <calculatedColumnFormula>C2-B2</calculatedColumnFormula>
      <totalsRowFormula>AVERAGE(D2:D4)</totalsRowFormula>
    </tableColumn>
    <tableColumn id="4" xr3:uid="{00000000-0010-0000-0000-000004000000}" name="Email" dataDxfId="31" totalsRowDxfId="12"/>
    <tableColumn id="5" xr3:uid="{00000000-0010-0000-0000-000005000000}" name="Name" dataDxfId="30" totalsRowDxfId="11"/>
    <tableColumn id="6" xr3:uid="{00000000-0010-0000-0000-000006000000}" name="Last modified time" dataDxfId="29" totalsRowDxfId="10"/>
    <tableColumn id="7" xr3:uid="{00000000-0010-0000-0000-000007000000}" name="How long have you been eating at Red Lobster?" dataDxfId="28" totalsRowDxfId="9"/>
    <tableColumn id="8" xr3:uid="{00000000-0010-0000-0000-000008000000}" name="What dishes would you like to see more of?" dataDxfId="27" totalsRowDxfId="8"/>
    <tableColumn id="9" xr3:uid="{00000000-0010-0000-0000-000009000000}" name="Do you pay with cash or card?" totalsRowFunction="custom" dataDxfId="26" totalsRowDxfId="7">
      <totalsRowFormula>COUNTIF(J2:J4, "Card")</totalsRowFormula>
    </tableColumn>
    <tableColumn id="10" xr3:uid="{00000000-0010-0000-0000-00000A000000}" name="What dish do you order the most?" dataDxfId="25" totalsRowDxfId="6"/>
    <tableColumn id="11" xr3:uid="{00000000-0010-0000-0000-00000B000000}" name="Is our staff professional and cordial?" totalsRowFunction="custom" dataDxfId="24" totalsRowDxfId="5">
      <totalsRowFormula>COUNTIF(L2:L4, "Yes")</totalsRowFormula>
    </tableColumn>
    <tableColumn id="12" xr3:uid="{00000000-0010-0000-0000-00000C000000}" name="How often do you come to Red Lobster?" totalsRowFunction="custom" dataDxfId="23" totalsRowDxfId="4">
      <totalsRowFormula>COUNTIF(M2:M4, "Sometimes")</totalsRowFormula>
    </tableColumn>
    <tableColumn id="13" xr3:uid="{00000000-0010-0000-0000-00000D000000}" name="Do you eat at Red Lobster for Lunch or Dinner?" totalsRowFunction="custom" dataDxfId="22" totalsRowDxfId="3">
      <totalsRowFormula>COUNTIF(N2:N4, "Dinner")</totalsRowFormula>
    </tableColumn>
    <tableColumn id="14" xr3:uid="{00000000-0010-0000-0000-00000E000000}" name="Do you order dessert?" totalsRowFunction="custom" dataDxfId="21" totalsRowDxfId="2">
      <totalsRowFormula>COUNTIF(O2:O4, "Yes")</totalsRowFormula>
    </tableColumn>
    <tableColumn id="15" xr3:uid="{00000000-0010-0000-0000-00000F000000}" name="Would you be interested in a loyalty program?" totalsRowFunction="custom" dataDxfId="20" totalsRowDxfId="1">
      <totalsRowFormula>COUNTIF(P2:P4,"Yes")</totalsRowFormula>
    </tableColumn>
    <tableColumn id="16" xr3:uid="{00000000-0010-0000-0000-000010000000}" name="Is there any other feedback that you'd like us to know?" dataDxfId="19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8D514-40B1-43BE-ADAE-549BA6CE5E2F}">
  <dimension ref="A1:B4"/>
  <sheetViews>
    <sheetView tabSelected="1" workbookViewId="0">
      <selection activeCell="D23" sqref="D23"/>
    </sheetView>
  </sheetViews>
  <sheetFormatPr defaultRowHeight="14.4" x14ac:dyDescent="0.3"/>
  <cols>
    <col min="1" max="1" width="22.44140625" bestFit="1" customWidth="1"/>
    <col min="2" max="2" width="13.44140625" bestFit="1" customWidth="1"/>
    <col min="3" max="3" width="27.5546875" bestFit="1" customWidth="1"/>
    <col min="4" max="4" width="39.88671875" customWidth="1"/>
  </cols>
  <sheetData>
    <row r="1" spans="1:2" x14ac:dyDescent="0.3">
      <c r="A1" s="6" t="s">
        <v>40</v>
      </c>
      <c r="B1" t="s">
        <v>42</v>
      </c>
    </row>
    <row r="2" spans="1:2" x14ac:dyDescent="0.3">
      <c r="A2" s="7" t="s">
        <v>32</v>
      </c>
      <c r="B2" s="5">
        <v>1</v>
      </c>
    </row>
    <row r="3" spans="1:2" x14ac:dyDescent="0.3">
      <c r="A3" s="7" t="s">
        <v>23</v>
      </c>
      <c r="B3" s="5">
        <v>2</v>
      </c>
    </row>
    <row r="4" spans="1:2" x14ac:dyDescent="0.3">
      <c r="A4" s="7" t="s">
        <v>41</v>
      </c>
      <c r="B4" s="5">
        <v>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"/>
  <sheetViews>
    <sheetView workbookViewId="0">
      <selection activeCell="O4" sqref="O2:O4"/>
    </sheetView>
  </sheetViews>
  <sheetFormatPr defaultRowHeight="14.4" x14ac:dyDescent="0.3"/>
  <cols>
    <col min="1" max="1" width="20" bestFit="1" customWidth="1"/>
    <col min="2" max="2" width="20" style="2" bestFit="1" customWidth="1"/>
    <col min="3" max="4" width="23.5546875" customWidth="1"/>
    <col min="5" max="5" width="38.109375" customWidth="1"/>
    <col min="6" max="6" width="23.6640625" customWidth="1"/>
    <col min="7" max="8" width="20" bestFit="1" customWidth="1"/>
    <col min="9" max="9" width="21.77734375" customWidth="1"/>
    <col min="10" max="10" width="20" bestFit="1" customWidth="1"/>
    <col min="11" max="11" width="24.109375" customWidth="1"/>
    <col min="12" max="12" width="20" bestFit="1" customWidth="1"/>
    <col min="13" max="13" width="26.33203125" customWidth="1"/>
    <col min="14" max="16" width="20" bestFit="1" customWidth="1"/>
    <col min="17" max="17" width="52.77734375" customWidth="1"/>
  </cols>
  <sheetData>
    <row r="1" spans="1:17" x14ac:dyDescent="0.3">
      <c r="A1" t="s">
        <v>0</v>
      </c>
      <c r="B1" s="2" t="s">
        <v>1</v>
      </c>
      <c r="C1" t="s">
        <v>2</v>
      </c>
      <c r="D1" t="s">
        <v>39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3">
      <c r="A2">
        <v>1</v>
      </c>
      <c r="B2" s="3">
        <v>46121.442766203705</v>
      </c>
      <c r="C2" s="3">
        <v>46121.443483796298</v>
      </c>
      <c r="D2" s="4">
        <f t="shared" ref="D2:D4" si="0">C2-B2</f>
        <v>7.1759259299142286E-4</v>
      </c>
      <c r="E2" t="s">
        <v>16</v>
      </c>
      <c r="F2" t="s">
        <v>17</v>
      </c>
      <c r="G2" s="1"/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22</v>
      </c>
      <c r="Q2" t="s">
        <v>26</v>
      </c>
    </row>
    <row r="3" spans="1:17" x14ac:dyDescent="0.3">
      <c r="A3">
        <v>2</v>
      </c>
      <c r="B3" s="3">
        <v>46121.470405092601</v>
      </c>
      <c r="C3" s="3">
        <v>46121.472187500003</v>
      </c>
      <c r="D3" s="4">
        <f t="shared" si="0"/>
        <v>1.782407402060926E-3</v>
      </c>
      <c r="E3" t="s">
        <v>27</v>
      </c>
      <c r="F3" t="s">
        <v>28</v>
      </c>
      <c r="G3" s="1"/>
      <c r="H3" t="s">
        <v>29</v>
      </c>
      <c r="I3" t="s">
        <v>30</v>
      </c>
      <c r="J3" t="s">
        <v>20</v>
      </c>
      <c r="K3" t="s">
        <v>31</v>
      </c>
      <c r="L3" t="s">
        <v>22</v>
      </c>
      <c r="M3" t="s">
        <v>32</v>
      </c>
      <c r="N3" t="s">
        <v>24</v>
      </c>
      <c r="O3" t="s">
        <v>22</v>
      </c>
      <c r="P3" t="s">
        <v>22</v>
      </c>
    </row>
    <row r="4" spans="1:17" x14ac:dyDescent="0.3">
      <c r="A4">
        <v>3</v>
      </c>
      <c r="B4" s="3">
        <v>46121.474027777775</v>
      </c>
      <c r="C4" s="3">
        <v>46121.479155092602</v>
      </c>
      <c r="D4" s="4">
        <f t="shared" si="0"/>
        <v>5.1273148274049163E-3</v>
      </c>
      <c r="E4" t="s">
        <v>33</v>
      </c>
      <c r="F4" t="s">
        <v>34</v>
      </c>
      <c r="G4" s="1"/>
      <c r="H4" t="s">
        <v>35</v>
      </c>
      <c r="I4" t="s">
        <v>36</v>
      </c>
      <c r="J4" t="s">
        <v>20</v>
      </c>
      <c r="K4" t="s">
        <v>37</v>
      </c>
      <c r="L4" t="s">
        <v>22</v>
      </c>
      <c r="M4" t="s">
        <v>23</v>
      </c>
      <c r="N4" t="s">
        <v>24</v>
      </c>
      <c r="O4" t="s">
        <v>22</v>
      </c>
      <c r="P4" t="s">
        <v>22</v>
      </c>
      <c r="Q4" t="s">
        <v>38</v>
      </c>
    </row>
    <row r="5" spans="1:17" x14ac:dyDescent="0.3">
      <c r="A5" s="4">
        <f>AVERAGE(A2:A4)</f>
        <v>2</v>
      </c>
      <c r="B5" s="3">
        <f>AVERAGE(B2:B4)</f>
        <v>46121.462399691365</v>
      </c>
      <c r="C5" s="3">
        <f>AVERAGE(C2:C4)</f>
        <v>46121.464942129642</v>
      </c>
      <c r="D5" s="4">
        <f>AVERAGE(D2:D4)</f>
        <v>2.5424382741524218E-3</v>
      </c>
      <c r="E5" s="5"/>
      <c r="F5" s="5"/>
      <c r="G5" s="1"/>
      <c r="H5" s="5"/>
      <c r="I5" s="5"/>
      <c r="J5" s="5">
        <f>COUNTIF(J2:J4, "Card")</f>
        <v>3</v>
      </c>
      <c r="K5" s="5"/>
      <c r="L5" s="5">
        <f>COUNTIF(L2:L4, "Yes")</f>
        <v>3</v>
      </c>
      <c r="M5" s="5">
        <f>COUNTIF(M2:M4, "Sometimes")</f>
        <v>2</v>
      </c>
      <c r="N5" s="5">
        <f>COUNTIF(N2:N4, "Dinner")</f>
        <v>3</v>
      </c>
      <c r="O5" s="5">
        <f>COUNTIF(O2:O4, "Yes")</f>
        <v>2</v>
      </c>
      <c r="P5" s="5">
        <f>COUNTIF(P2:P4,"Yes")</f>
        <v>3</v>
      </c>
      <c r="Q5" s="5"/>
    </row>
    <row r="6" spans="1:17" x14ac:dyDescent="0.3">
      <c r="M6">
        <f>COUNTIF(M2:M4, "I am a first-time customer")</f>
        <v>1</v>
      </c>
      <c r="O6">
        <f>COUNTIF(O2:O4, "No")</f>
        <v>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lily wells</cp:lastModifiedBy>
  <dcterms:created xsi:type="dcterms:W3CDTF">2026-04-10T22:27:37Z</dcterms:created>
  <dcterms:modified xsi:type="dcterms:W3CDTF">2026-04-12T02:24:39Z</dcterms:modified>
</cp:coreProperties>
</file>