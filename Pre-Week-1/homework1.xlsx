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-2026\Excel\"/>
    </mc:Choice>
  </mc:AlternateContent>
  <xr:revisionPtr revIDLastSave="0" documentId="13_ncr:1_{748A2376-8533-4EFF-851C-63837A91F230}" xr6:coauthVersionLast="47" xr6:coauthVersionMax="47" xr10:uidLastSave="{00000000-0000-0000-0000-000000000000}"/>
  <bookViews>
    <workbookView xWindow="-108" yWindow="-108" windowWidth="23256" windowHeight="13896" activeTab="1" xr2:uid="{B91CAECE-A2F6-4946-A12F-8DAA84AD0A0E}"/>
  </bookViews>
  <sheets>
    <sheet name="Store Data" sheetId="1" r:id="rId1"/>
    <sheet name="Store Summary" sheetId="2" r:id="rId2"/>
  </sheets>
  <definedNames>
    <definedName name="AGGREGATE">'Store Data'!$F$1:$F$6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6" i="1"/>
  <c r="E4" i="1"/>
  <c r="E5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<sst xmlns="http://schemas.openxmlformats.org/spreadsheetml/2006/main" count="24" uniqueCount="24">
  <si>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</si>
  <si>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</si>
  <si>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</si>
  <si>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</si>
  <si>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</si>
  <si>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</si>
  <si>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</si>
  <si>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</si>
  <si>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</si>
  <si>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</si>
  <si>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</si>
  <si>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</si>
  <si>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</si>
  <si>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</si>
  <si>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</si>
  <si>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</si>
  <si>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</si>
  <si>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</si>
  <si>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</si>
  <si>
    <t>The average performance (w/out store H) is 47.4.</t>
  </si>
  <si>
    <t>The average performance (including store H) is 49.2.</t>
  </si>
  <si>
    <t>Store H's value significantly impacts the results.</t>
  </si>
  <si>
    <t>The data is rather tightly grouped together, mostly including values in the 40's.</t>
  </si>
  <si>
    <t>I would like to know the min and max of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</si>
</sst>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928B-8990-46C3-8BFF-854390BA8123}">
  <dimension ref="A1:F13"/>
  <sheetViews>
    <sheetView workbookViewId="0">
      <selection activeCell="B9" sqref="B9"/>
    </sheetView>
  </sheetViews>
  <sheetFormatPr defaultRowHeight="14.4" x14ac:dyDescent="0.3"/>
  <cols>
    <col min="2" max="2" width="12.21875" customWidth="1"/>
    <col min="4" max="4" width="15.77734375" customWidth="1"/>
    <col min="5" max="5" width="10.109375" customWidth="1"/>
    <col min="6" max="6" width="11.21875" customWidth="1"/>
    <col min="7" max="7" width="11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>
        <v>51</v>
      </c>
      <c r="C2">
        <v>51</v>
      </c>
      <c r="D2" t="s">
        <v>14</v>
      </c>
      <c r="E2">
        <f>AVERAGE(B2:B13)</f>
        <v>49.416666666666664</v>
      </c>
      <c r="F2">
        <v>47.363636399999997</v>
      </c>
    </row>
    <row r="3" spans="1:6" x14ac:dyDescent="0.3">
      <c r="A3" t="s">
        <v>3</v>
      </c>
      <c r="B3">
        <v>44</v>
      </c>
      <c r="C3">
        <v>44</v>
      </c>
      <c r="D3" t="s">
        <v>15</v>
      </c>
      <c r="E3">
        <f>MEDIAN(B2:B13)</f>
        <v>47.5</v>
      </c>
      <c r="F3">
        <v>47</v>
      </c>
    </row>
    <row r="4" spans="1:6" x14ac:dyDescent="0.3">
      <c r="A4" t="s">
        <v>4</v>
      </c>
      <c r="B4">
        <v>49</v>
      </c>
      <c r="C4">
        <v>49</v>
      </c>
      <c r="D4" t="s">
        <v>16</v>
      </c>
      <c r="E4">
        <f>_xlfn.MODE.SNGL(B2:B13)</f>
        <v>46</v>
      </c>
      <c r="F4">
        <v>46</v>
      </c>
    </row>
    <row r="5" spans="1:6" x14ac:dyDescent="0.3">
      <c r="A5" t="s">
        <v>5</v>
      </c>
      <c r="B5">
        <v>46</v>
      </c>
      <c r="C5">
        <v>46</v>
      </c>
      <c r="D5" t="s">
        <v>17</v>
      </c>
      <c r="E5">
        <f>MAX(B2:B13)-MIN(B2:B13)</f>
        <v>29</v>
      </c>
      <c r="F5">
        <v>9</v>
      </c>
    </row>
    <row r="6" spans="1:6" x14ac:dyDescent="0.3">
      <c r="A6" t="s">
        <v>6</v>
      </c>
      <c r="B6">
        <v>52</v>
      </c>
      <c r="C6">
        <v>52</v>
      </c>
      <c r="D6" t="s">
        <v>18</v>
      </c>
      <c r="E6">
        <f>_xlfn.STDEV.S(B2:B13)</f>
        <v>7.6331613054586773</v>
      </c>
      <c r="F6">
        <v>2.9076701100000002</v>
      </c>
    </row>
    <row r="7" spans="1:6" x14ac:dyDescent="0.3">
      <c r="A7" t="s">
        <v>7</v>
      </c>
      <c r="B7">
        <v>47</v>
      </c>
      <c r="C7">
        <v>47</v>
      </c>
    </row>
    <row r="8" spans="1:6" ht="12.6" customHeight="1" x14ac:dyDescent="0.3">
      <c r="A8" t="s">
        <v>8</v>
      </c>
      <c r="B8">
        <v>45</v>
      </c>
      <c r="C8">
        <v>45</v>
      </c>
    </row>
    <row r="9" spans="1:6" x14ac:dyDescent="0.3">
      <c r="A9" t="s">
        <v>9</v>
      </c>
      <c r="B9">
        <v>72</v>
      </c>
    </row>
    <row r="10" spans="1:6" x14ac:dyDescent="0.3">
      <c r="A10" t="s">
        <v>10</v>
      </c>
      <c r="B10">
        <v>43</v>
      </c>
      <c r="C10">
        <v>43</v>
      </c>
    </row>
    <row r="11" spans="1:6" x14ac:dyDescent="0.3">
      <c r="A11" t="s">
        <v>11</v>
      </c>
      <c r="B11">
        <v>48</v>
      </c>
      <c r="C11">
        <v>48</v>
      </c>
    </row>
    <row r="12" spans="1:6" x14ac:dyDescent="0.3">
      <c r="A12" t="s">
        <v>12</v>
      </c>
      <c r="B12">
        <v>46</v>
      </c>
      <c r="C12">
        <v>46</v>
      </c>
    </row>
    <row r="13" spans="1:6" x14ac:dyDescent="0.3">
      <c r="A13" t="s">
        <v>13</v>
      </c>
      <c r="B13">
        <v>50</v>
      </c>
      <c r="C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C5E7-A80E-4C22-B7E1-6B0D541EED58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62.6640625" customWidth="1"/>
    <col min="2" max="2" width="41" customWidth="1"/>
  </cols>
  <sheetData>
    <row r="1" spans="1:2" x14ac:dyDescent="0.3">
      <c r="A1" t="s">
        <v>20</v>
      </c>
      <c r="B1" t="s">
        <v>19</v>
      </c>
    </row>
    <row r="2" spans="1:2" x14ac:dyDescent="0.3">
      <c r="A2" t="s">
        <v>22</v>
      </c>
    </row>
    <row r="3" spans="1:2" x14ac:dyDescent="0.3">
      <c r="A3" t="s">
        <v>21</v>
      </c>
    </row>
    <row r="4" spans="1:2" x14ac:dyDescent="0.3">
      <c r="A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Store Data</vt:lpstr>
      <vt:lpstr>Store Summary</vt:lpstr>
      <vt:lpstr>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2026-03-26T01:09:15Z</dcterms:created>
  <dcterms:modified xsi:type="dcterms:W3CDTF">2026-03-26T13:41:33Z</dcterms:modified>
</cp:coreProperties>
</file>